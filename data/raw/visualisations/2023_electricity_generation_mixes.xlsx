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uben\Desktop\GitHub Thesis Files\data\raw\"/>
    </mc:Choice>
  </mc:AlternateContent>
  <xr:revisionPtr revIDLastSave="0" documentId="13_ncr:1_{56376413-BCA4-4A61-B3D7-5475231E96DC}" xr6:coauthVersionLast="47" xr6:coauthVersionMax="47" xr10:uidLastSave="{00000000-0000-0000-0000-000000000000}"/>
  <bookViews>
    <workbookView xWindow="28680" yWindow="-13320" windowWidth="29040" windowHeight="15720" xr2:uid="{00000000-000D-0000-FFFF-FFFF00000000}"/>
  </bookViews>
  <sheets>
    <sheet name="Sheet1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7" i="2" l="1"/>
  <c r="B7" i="2"/>
  <c r="E7" i="2"/>
  <c r="B18" i="2"/>
  <c r="B16" i="2"/>
  <c r="B3" i="2"/>
  <c r="B2" i="2"/>
  <c r="B4" i="2"/>
  <c r="B5" i="2"/>
  <c r="B6" i="2"/>
  <c r="B8" i="2"/>
  <c r="B9" i="2"/>
  <c r="B10" i="2"/>
  <c r="B11" i="2"/>
  <c r="B12" i="2"/>
  <c r="B13" i="2"/>
  <c r="B14" i="2"/>
  <c r="B15" i="2"/>
  <c r="B17" i="2"/>
  <c r="B19" i="2"/>
  <c r="B20" i="2"/>
  <c r="B21" i="2"/>
  <c r="B22" i="2"/>
  <c r="B23" i="2"/>
  <c r="B24" i="2"/>
  <c r="B25" i="2"/>
  <c r="B26" i="2"/>
  <c r="B27" i="2"/>
</calcChain>
</file>

<file path=xl/sharedStrings.xml><?xml version="1.0" encoding="utf-8"?>
<sst xmlns="http://schemas.openxmlformats.org/spreadsheetml/2006/main" count="37" uniqueCount="37">
  <si>
    <t>Total</t>
  </si>
  <si>
    <t>Belgium</t>
  </si>
  <si>
    <t>Bulgaria</t>
  </si>
  <si>
    <t>Czechia</t>
  </si>
  <si>
    <t>Denmark</t>
  </si>
  <si>
    <t>Germany</t>
  </si>
  <si>
    <t>Estonia</t>
  </si>
  <si>
    <t>Ireland</t>
  </si>
  <si>
    <t>Greece</t>
  </si>
  <si>
    <t>Spain</t>
  </si>
  <si>
    <t>France</t>
  </si>
  <si>
    <t>Croatia</t>
  </si>
  <si>
    <t>Italy</t>
  </si>
  <si>
    <t>Latvia</t>
  </si>
  <si>
    <t>Lithuania</t>
  </si>
  <si>
    <t>Luxembourg</t>
  </si>
  <si>
    <t>Hungary</t>
  </si>
  <si>
    <t>Netherlands</t>
  </si>
  <si>
    <t>Austria</t>
  </si>
  <si>
    <t>Poland</t>
  </si>
  <si>
    <t>Portugal</t>
  </si>
  <si>
    <t>Romania</t>
  </si>
  <si>
    <t>Slovenia</t>
  </si>
  <si>
    <t>Slovakia</t>
  </si>
  <si>
    <t>Finland</t>
  </si>
  <si>
    <t>Sweden</t>
  </si>
  <si>
    <t>Norway</t>
  </si>
  <si>
    <t>Natural gas</t>
  </si>
  <si>
    <t>Hydro</t>
  </si>
  <si>
    <t>Geothermal</t>
  </si>
  <si>
    <t>Wind</t>
  </si>
  <si>
    <t>Country</t>
  </si>
  <si>
    <t>Coal</t>
  </si>
  <si>
    <t>Oil</t>
  </si>
  <si>
    <t>Solar</t>
  </si>
  <si>
    <t>Biofuels</t>
  </si>
  <si>
    <t>Nuclear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</si>
</sst>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##########"/>
    <numFmt numFmtId="165" formatCode="#,##0.000"/>
  </numFmts>
  <fonts count="5" x14ac:knownFonts="1">
    <font>
      <sz val="11"/>
      <color indexed="8"/>
      <name val="Aptos Narrow"/>
      <family val="2"/>
      <scheme val="minor"/>
    </font>
    <font>
      <sz val="9"/>
      <name val="Arial"/>
      <family val="2"/>
    </font>
    <font>
      <sz val="11"/>
      <color indexed="8"/>
      <name val="Aptos Narrow"/>
      <family val="2"/>
      <scheme val="minor"/>
    </font>
    <font>
      <sz val="9"/>
      <color indexed="9"/>
      <name val="Arial"/>
      <family val="2"/>
    </font>
    <font>
      <sz val="9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2" fillId="0" borderId="0" applyFont="0" applyFill="0" applyBorder="0" applyAlignment="0" applyProtection="0"/>
  </cellStyleXfs>
  <cellXfs count="10">
    <xf numFmtId="0" fontId="0" fillId="0" borderId="0" xfId="0"/>
    <xf numFmtId="0" fontId="3" fillId="0" borderId="0" xfId="0" applyFont="1" applyBorder="1" applyAlignment="1">
      <alignment horizontal="right" vertical="center"/>
    </xf>
    <xf numFmtId="0" fontId="4" fillId="0" borderId="0" xfId="0" applyFont="1" applyBorder="1" applyAlignment="1">
      <alignment horizontal="left" vertical="center"/>
    </xf>
    <xf numFmtId="0" fontId="0" fillId="0" borderId="0" xfId="0" applyFont="1" applyBorder="1"/>
    <xf numFmtId="165" fontId="0" fillId="0" borderId="0" xfId="0" applyNumberFormat="1" applyFont="1" applyBorder="1"/>
    <xf numFmtId="164" fontId="1" fillId="0" borderId="0" xfId="0" applyNumberFormat="1" applyFont="1" applyBorder="1" applyAlignment="1">
      <alignment horizontal="right" vertical="center" shrinkToFit="1"/>
    </xf>
    <xf numFmtId="0" fontId="1" fillId="0" borderId="0" xfId="0" applyFont="1" applyBorder="1" applyAlignment="1">
      <alignment horizontal="left" vertical="center"/>
    </xf>
    <xf numFmtId="165" fontId="1" fillId="0" borderId="0" xfId="0" applyNumberFormat="1" applyFont="1" applyBorder="1" applyAlignment="1">
      <alignment horizontal="right" vertical="center" shrinkToFit="1"/>
    </xf>
    <xf numFmtId="164" fontId="0" fillId="0" borderId="0" xfId="0" applyNumberFormat="1" applyFont="1" applyBorder="1"/>
    <xf numFmtId="10" fontId="2" fillId="0" borderId="0" xfId="1" applyNumberFormat="1" applyFont="1" applyBorder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28C03F-D51C-4374-9907-404EE5ADE505}">
  <dimension ref="A1:M27"/>
  <sheetViews>
    <sheetView tabSelected="1" zoomScaleNormal="100" workbookViewId="0">
      <selection activeCell="L12" sqref="L12"/>
    </sheetView>
  </sheetViews>
  <sheetFormatPr defaultRowHeight="14.5" x14ac:dyDescent="0.35"/>
  <cols>
    <col min="1" max="1" width="38.81640625" style="3" customWidth="1"/>
    <col min="2" max="2" width="23.81640625" style="3" customWidth="1"/>
    <col min="3" max="3" width="8.7265625" style="3"/>
    <col min="4" max="4" width="13.36328125" style="3" customWidth="1"/>
    <col min="5" max="6" width="8.7265625" style="3"/>
    <col min="7" max="7" width="14.7265625" style="3" customWidth="1"/>
    <col min="8" max="8" width="8.7265625" style="3"/>
    <col min="9" max="9" width="16.36328125" style="3" customWidth="1"/>
    <col min="10" max="10" width="14.08984375" style="3" customWidth="1"/>
    <col min="11" max="11" width="17.6328125" style="3" customWidth="1"/>
    <col min="12" max="12" width="15.26953125" style="3" customWidth="1"/>
    <col min="13" max="13" width="19" style="3" customWidth="1"/>
    <col min="14" max="16384" width="8.7265625" style="3"/>
  </cols>
  <sheetData>
    <row r="1" spans="1:13" x14ac:dyDescent="0.35">
      <c r="A1" s="1" t="s">
        <v>31</v>
      </c>
      <c r="B1" s="2" t="s">
        <v>0</v>
      </c>
      <c r="C1" s="3" t="s">
        <v>32</v>
      </c>
      <c r="D1" s="3" t="s">
        <v>27</v>
      </c>
      <c r="E1" s="3" t="s">
        <v>33</v>
      </c>
      <c r="F1" s="3" t="s">
        <v>28</v>
      </c>
      <c r="G1" s="3" t="s">
        <v>29</v>
      </c>
      <c r="H1" s="3" t="s">
        <v>30</v>
      </c>
      <c r="I1" s="3" t="s">
        <v>34</v>
      </c>
      <c r="J1" s="4" t="s">
        <v>35</v>
      </c>
      <c r="K1" s="5" t="s">
        <v>36</v>
      </c>
    </row>
    <row r="2" spans="1:13" x14ac:dyDescent="0.35">
      <c r="A2" s="6" t="s">
        <v>1</v>
      </c>
      <c r="B2" s="5">
        <f t="shared" ref="B2:B27" si="0">SUM(C2:K2)</f>
        <v>77961.2</v>
      </c>
      <c r="C2" s="7">
        <v>40.1</v>
      </c>
      <c r="D2" s="7">
        <v>18289.2</v>
      </c>
      <c r="E2" s="7">
        <v>197.6</v>
      </c>
      <c r="F2" s="7">
        <v>406.6</v>
      </c>
      <c r="G2" s="7">
        <v>0</v>
      </c>
      <c r="H2" s="7">
        <v>15443.9</v>
      </c>
      <c r="I2" s="4">
        <v>7820</v>
      </c>
      <c r="J2" s="4">
        <v>2835.8999999999996</v>
      </c>
      <c r="K2" s="7">
        <v>32927.9</v>
      </c>
      <c r="L2" s="8"/>
      <c r="M2" s="9"/>
    </row>
    <row r="3" spans="1:13" x14ac:dyDescent="0.35">
      <c r="A3" s="6" t="s">
        <v>2</v>
      </c>
      <c r="B3" s="5">
        <f>SUM(C3:K3)</f>
        <v>40173.637999999999</v>
      </c>
      <c r="C3" s="5">
        <v>11728.215</v>
      </c>
      <c r="D3" s="5">
        <v>1942.008</v>
      </c>
      <c r="E3" s="5">
        <v>281.44400000000002</v>
      </c>
      <c r="F3" s="5">
        <v>3080.1320000000001</v>
      </c>
      <c r="G3" s="7">
        <v>0</v>
      </c>
      <c r="H3" s="5">
        <v>1583.8520000000001</v>
      </c>
      <c r="I3" s="4">
        <v>3520.7089999999998</v>
      </c>
      <c r="J3" s="4">
        <v>1874.002</v>
      </c>
      <c r="K3" s="5">
        <v>16163.276</v>
      </c>
      <c r="L3" s="8"/>
      <c r="M3" s="9"/>
    </row>
    <row r="4" spans="1:13" x14ac:dyDescent="0.35">
      <c r="A4" s="6" t="s">
        <v>3</v>
      </c>
      <c r="B4" s="5">
        <f t="shared" si="0"/>
        <v>75102.031000000017</v>
      </c>
      <c r="C4" s="5">
        <v>29940.678</v>
      </c>
      <c r="D4" s="5">
        <v>3664.8960000000002</v>
      </c>
      <c r="E4" s="5">
        <v>89.021000000000001</v>
      </c>
      <c r="F4" s="5">
        <v>2362.9780000000001</v>
      </c>
      <c r="G4" s="7">
        <v>0</v>
      </c>
      <c r="H4" s="5">
        <v>701.64099999999996</v>
      </c>
      <c r="I4" s="4">
        <v>2892.0929999999998</v>
      </c>
      <c r="J4" s="4">
        <v>5040.26</v>
      </c>
      <c r="K4" s="5">
        <v>30410.464</v>
      </c>
      <c r="L4" s="8"/>
      <c r="M4" s="9"/>
    </row>
    <row r="5" spans="1:13" x14ac:dyDescent="0.35">
      <c r="A5" s="6" t="s">
        <v>4</v>
      </c>
      <c r="B5" s="5">
        <f t="shared" si="0"/>
        <v>32053.531999999999</v>
      </c>
      <c r="C5" s="5">
        <v>2525.0790000000002</v>
      </c>
      <c r="D5" s="5">
        <v>1000.193</v>
      </c>
      <c r="E5" s="5">
        <v>239.01599999999999</v>
      </c>
      <c r="F5" s="5">
        <v>19.628</v>
      </c>
      <c r="G5" s="7">
        <v>0</v>
      </c>
      <c r="H5" s="5">
        <v>19393.191999999999</v>
      </c>
      <c r="I5" s="4">
        <v>3363.2779999999998</v>
      </c>
      <c r="J5" s="4">
        <v>5513.1460000000006</v>
      </c>
      <c r="K5" s="7">
        <v>0</v>
      </c>
      <c r="L5" s="8"/>
      <c r="M5" s="9"/>
    </row>
    <row r="6" spans="1:13" x14ac:dyDescent="0.35">
      <c r="A6" s="6" t="s">
        <v>5</v>
      </c>
      <c r="B6" s="5">
        <f t="shared" si="0"/>
        <v>482841.34100000001</v>
      </c>
      <c r="C6" s="5">
        <v>124972.341</v>
      </c>
      <c r="D6" s="7">
        <v>80875</v>
      </c>
      <c r="E6" s="7">
        <v>5372</v>
      </c>
      <c r="F6" s="7">
        <v>19894</v>
      </c>
      <c r="G6" s="7">
        <v>195</v>
      </c>
      <c r="H6" s="7">
        <v>140538</v>
      </c>
      <c r="I6" s="4">
        <v>63576</v>
      </c>
      <c r="J6" s="4">
        <v>40203</v>
      </c>
      <c r="K6" s="7">
        <v>7216</v>
      </c>
      <c r="L6" s="8"/>
      <c r="M6" s="9"/>
    </row>
    <row r="7" spans="1:13" x14ac:dyDescent="0.35">
      <c r="A7" s="6" t="s">
        <v>6</v>
      </c>
      <c r="B7" s="5">
        <f>SUM(C7:K7)</f>
        <v>5599.1050000000005</v>
      </c>
      <c r="C7" s="7">
        <v>837</v>
      </c>
      <c r="D7" s="7">
        <f>21.5</f>
        <v>21.5</v>
      </c>
      <c r="E7" s="5">
        <f>18.075+1970.4</f>
        <v>1988.4750000000001</v>
      </c>
      <c r="F7" s="7">
        <v>24</v>
      </c>
      <c r="G7" s="7">
        <v>0</v>
      </c>
      <c r="H7" s="7">
        <v>683</v>
      </c>
      <c r="I7" s="4">
        <v>721</v>
      </c>
      <c r="J7" s="4">
        <v>1324.13</v>
      </c>
      <c r="K7" s="7">
        <v>0</v>
      </c>
      <c r="L7" s="8"/>
      <c r="M7" s="9"/>
    </row>
    <row r="8" spans="1:13" x14ac:dyDescent="0.35">
      <c r="A8" s="6" t="s">
        <v>7</v>
      </c>
      <c r="B8" s="5">
        <f t="shared" si="0"/>
        <v>30738.73</v>
      </c>
      <c r="C8" s="5">
        <v>1210.761</v>
      </c>
      <c r="D8" s="5">
        <v>15350.674999999999</v>
      </c>
      <c r="E8" s="7">
        <v>227.66</v>
      </c>
      <c r="F8" s="5">
        <v>942.75099999999998</v>
      </c>
      <c r="G8" s="7">
        <v>0</v>
      </c>
      <c r="H8" s="5">
        <v>11863.352000000001</v>
      </c>
      <c r="I8" s="4">
        <v>646.48199999999997</v>
      </c>
      <c r="J8" s="4">
        <v>497.04899999999998</v>
      </c>
      <c r="K8" s="7">
        <v>0</v>
      </c>
      <c r="L8" s="8"/>
      <c r="M8" s="9"/>
    </row>
    <row r="9" spans="1:13" x14ac:dyDescent="0.35">
      <c r="A9" s="6" t="s">
        <v>8</v>
      </c>
      <c r="B9" s="5">
        <f t="shared" si="0"/>
        <v>49644.690999999999</v>
      </c>
      <c r="C9" s="5">
        <v>4590.6120000000001</v>
      </c>
      <c r="D9" s="5">
        <v>15979.114</v>
      </c>
      <c r="E9" s="7">
        <v>4689.45</v>
      </c>
      <c r="F9" s="5">
        <v>3815.328</v>
      </c>
      <c r="G9" s="7">
        <v>0</v>
      </c>
      <c r="H9" s="5">
        <v>11021.763999999999</v>
      </c>
      <c r="I9" s="4">
        <v>8893.5720000000001</v>
      </c>
      <c r="J9" s="4">
        <v>654.851</v>
      </c>
      <c r="K9" s="7">
        <v>0</v>
      </c>
      <c r="L9" s="8"/>
      <c r="M9" s="9"/>
    </row>
    <row r="10" spans="1:13" x14ac:dyDescent="0.35">
      <c r="A10" s="6" t="s">
        <v>9</v>
      </c>
      <c r="B10" s="5">
        <f t="shared" si="0"/>
        <v>276975.91000000003</v>
      </c>
      <c r="C10" s="7">
        <v>3623</v>
      </c>
      <c r="D10" s="7">
        <v>64272</v>
      </c>
      <c r="E10" s="7">
        <v>9288.91</v>
      </c>
      <c r="F10" s="7">
        <v>24996</v>
      </c>
      <c r="G10" s="7">
        <v>0</v>
      </c>
      <c r="H10" s="7">
        <v>64275</v>
      </c>
      <c r="I10" s="4">
        <v>48586</v>
      </c>
      <c r="J10" s="4">
        <v>5062</v>
      </c>
      <c r="K10" s="7">
        <v>56873</v>
      </c>
      <c r="L10" s="8"/>
      <c r="M10" s="9"/>
    </row>
    <row r="11" spans="1:13" x14ac:dyDescent="0.35">
      <c r="A11" s="6" t="s">
        <v>10</v>
      </c>
      <c r="B11" s="5">
        <f t="shared" si="0"/>
        <v>513103.71900000004</v>
      </c>
      <c r="C11" s="5">
        <v>1976.4059999999999</v>
      </c>
      <c r="D11" s="5">
        <v>29839.304</v>
      </c>
      <c r="E11" s="5">
        <v>6184.8720000000003</v>
      </c>
      <c r="F11" s="5">
        <v>56657.175000000003</v>
      </c>
      <c r="G11" s="5">
        <v>128.797</v>
      </c>
      <c r="H11" s="5">
        <v>50479.192000000003</v>
      </c>
      <c r="I11" s="4">
        <v>21823.113000000001</v>
      </c>
      <c r="J11" s="4">
        <v>7812.5770000000002</v>
      </c>
      <c r="K11" s="5">
        <v>338202.283</v>
      </c>
      <c r="L11" s="8"/>
      <c r="M11" s="9"/>
    </row>
    <row r="12" spans="1:13" x14ac:dyDescent="0.35">
      <c r="A12" s="6" t="s">
        <v>11</v>
      </c>
      <c r="B12" s="5">
        <f t="shared" si="0"/>
        <v>17453.7</v>
      </c>
      <c r="C12" s="7">
        <v>1325.2</v>
      </c>
      <c r="D12" s="7">
        <v>3864.2</v>
      </c>
      <c r="E12" s="7">
        <v>37.1</v>
      </c>
      <c r="F12" s="7">
        <v>8160.5</v>
      </c>
      <c r="G12" s="7">
        <v>20.6</v>
      </c>
      <c r="H12" s="7">
        <v>2586.5</v>
      </c>
      <c r="I12" s="4">
        <v>413.1</v>
      </c>
      <c r="J12" s="4">
        <v>1046.5</v>
      </c>
      <c r="K12" s="7">
        <v>0</v>
      </c>
      <c r="L12" s="8"/>
      <c r="M12" s="9"/>
    </row>
    <row r="13" spans="1:13" x14ac:dyDescent="0.35">
      <c r="A13" s="6" t="s">
        <v>12</v>
      </c>
      <c r="B13" s="5">
        <f t="shared" si="0"/>
        <v>256635.46599999999</v>
      </c>
      <c r="C13" s="5">
        <v>13219.885</v>
      </c>
      <c r="D13" s="5">
        <v>118986.515</v>
      </c>
      <c r="E13" s="5">
        <v>10191.485000000001</v>
      </c>
      <c r="F13" s="5">
        <v>40517.258999999998</v>
      </c>
      <c r="G13" s="5">
        <v>5692.1940000000004</v>
      </c>
      <c r="H13" s="5">
        <v>23640.472000000002</v>
      </c>
      <c r="I13" s="4">
        <v>30711.081999999999</v>
      </c>
      <c r="J13" s="4">
        <v>13676.574000000001</v>
      </c>
      <c r="K13" s="7">
        <v>0</v>
      </c>
      <c r="L13" s="8"/>
      <c r="M13" s="9"/>
    </row>
    <row r="14" spans="1:13" x14ac:dyDescent="0.35">
      <c r="A14" s="6" t="s">
        <v>13</v>
      </c>
      <c r="B14" s="5">
        <f t="shared" si="0"/>
        <v>6387.5360000000001</v>
      </c>
      <c r="C14" s="7">
        <v>0</v>
      </c>
      <c r="D14" s="5">
        <v>1421.9580000000001</v>
      </c>
      <c r="E14" s="7">
        <v>2.2200000000000002</v>
      </c>
      <c r="F14" s="5">
        <v>3794.4560000000001</v>
      </c>
      <c r="G14" s="7">
        <v>0</v>
      </c>
      <c r="H14" s="5">
        <v>270.75700000000001</v>
      </c>
      <c r="I14" s="4">
        <v>239.06800000000001</v>
      </c>
      <c r="J14" s="4">
        <v>659.077</v>
      </c>
      <c r="K14" s="7">
        <v>0</v>
      </c>
      <c r="L14" s="8"/>
      <c r="M14" s="9"/>
    </row>
    <row r="15" spans="1:13" x14ac:dyDescent="0.35">
      <c r="A15" s="6" t="s">
        <v>14</v>
      </c>
      <c r="B15" s="5">
        <f t="shared" si="0"/>
        <v>5005.7</v>
      </c>
      <c r="C15" s="7">
        <v>0</v>
      </c>
      <c r="D15" s="7">
        <v>584.1</v>
      </c>
      <c r="E15" s="7">
        <v>214.2</v>
      </c>
      <c r="F15" s="7">
        <v>450.2</v>
      </c>
      <c r="G15" s="7">
        <v>0</v>
      </c>
      <c r="H15" s="7">
        <v>2536.1</v>
      </c>
      <c r="I15" s="4">
        <v>688.4</v>
      </c>
      <c r="J15" s="4">
        <v>532.69999999999993</v>
      </c>
      <c r="K15" s="7">
        <v>0</v>
      </c>
      <c r="L15" s="8"/>
      <c r="M15" s="9"/>
    </row>
    <row r="16" spans="1:13" x14ac:dyDescent="0.35">
      <c r="A16" s="6" t="s">
        <v>15</v>
      </c>
      <c r="B16" s="5">
        <f>SUM(C16:K16)</f>
        <v>1294.501</v>
      </c>
      <c r="C16" s="7">
        <v>0</v>
      </c>
      <c r="D16" s="5">
        <v>85.138000000000005</v>
      </c>
      <c r="E16" s="5">
        <v>1E-3</v>
      </c>
      <c r="F16" s="5">
        <v>88.616</v>
      </c>
      <c r="G16" s="7">
        <v>0</v>
      </c>
      <c r="H16" s="5">
        <v>495.28899999999999</v>
      </c>
      <c r="I16" s="4">
        <v>293.959</v>
      </c>
      <c r="J16" s="4">
        <v>331.49799999999999</v>
      </c>
      <c r="K16" s="7">
        <v>0</v>
      </c>
      <c r="L16" s="8"/>
      <c r="M16" s="9"/>
    </row>
    <row r="17" spans="1:13" x14ac:dyDescent="0.35">
      <c r="A17" s="6" t="s">
        <v>16</v>
      </c>
      <c r="B17" s="5">
        <f t="shared" si="0"/>
        <v>35000.300000000003</v>
      </c>
      <c r="C17" s="7">
        <v>2493</v>
      </c>
      <c r="D17" s="7">
        <v>7279</v>
      </c>
      <c r="E17" s="7">
        <v>55.3</v>
      </c>
      <c r="F17" s="7">
        <v>222</v>
      </c>
      <c r="G17" s="7">
        <v>16</v>
      </c>
      <c r="H17" s="7">
        <v>646</v>
      </c>
      <c r="I17" s="4">
        <v>6925</v>
      </c>
      <c r="J17" s="4">
        <v>1446</v>
      </c>
      <c r="K17" s="7">
        <v>15918</v>
      </c>
      <c r="L17" s="8"/>
      <c r="M17" s="9"/>
    </row>
    <row r="18" spans="1:13" x14ac:dyDescent="0.35">
      <c r="A18" s="6" t="s">
        <v>17</v>
      </c>
      <c r="B18" s="5">
        <f>SUM(C18:K18)</f>
        <v>114977.675</v>
      </c>
      <c r="C18" s="5">
        <v>8711.7559999999994</v>
      </c>
      <c r="D18" s="5">
        <v>45952.445</v>
      </c>
      <c r="E18" s="5">
        <v>1530.259</v>
      </c>
      <c r="F18" s="5">
        <v>69.369</v>
      </c>
      <c r="G18" s="7">
        <v>0</v>
      </c>
      <c r="H18" s="5">
        <v>29525.080999999998</v>
      </c>
      <c r="I18" s="4">
        <v>19578.187999999998</v>
      </c>
      <c r="J18" s="4">
        <v>5625.2839999999997</v>
      </c>
      <c r="K18" s="5">
        <v>3985.2930000000001</v>
      </c>
      <c r="L18" s="8"/>
      <c r="M18" s="9"/>
    </row>
    <row r="19" spans="1:13" x14ac:dyDescent="0.35">
      <c r="A19" s="6" t="s">
        <v>18</v>
      </c>
      <c r="B19" s="5">
        <f t="shared" si="0"/>
        <v>67590.491000000009</v>
      </c>
      <c r="C19" s="5">
        <v>20.937000000000001</v>
      </c>
      <c r="D19" s="5">
        <v>7495.2640000000001</v>
      </c>
      <c r="E19" s="5">
        <v>781.30499999999995</v>
      </c>
      <c r="F19" s="5">
        <v>40672.635000000002</v>
      </c>
      <c r="G19" s="5">
        <v>5.0000000000000001E-3</v>
      </c>
      <c r="H19" s="5">
        <v>8036.7049999999999</v>
      </c>
      <c r="I19" s="4">
        <v>6394.8109999999997</v>
      </c>
      <c r="J19" s="4">
        <v>4188.8289999999997</v>
      </c>
      <c r="K19" s="7">
        <v>0</v>
      </c>
      <c r="L19" s="8"/>
      <c r="M19" s="9"/>
    </row>
    <row r="20" spans="1:13" x14ac:dyDescent="0.35">
      <c r="A20" s="6" t="s">
        <v>19</v>
      </c>
      <c r="B20" s="5">
        <f t="shared" si="0"/>
        <v>162903.15</v>
      </c>
      <c r="C20" s="7">
        <v>98848.55</v>
      </c>
      <c r="D20" s="5">
        <v>16493.657999999999</v>
      </c>
      <c r="E20" s="5">
        <v>2011.3389999999999</v>
      </c>
      <c r="F20" s="5">
        <v>2409.511</v>
      </c>
      <c r="G20" s="7">
        <v>0</v>
      </c>
      <c r="H20" s="5">
        <v>24176.356</v>
      </c>
      <c r="I20" s="4">
        <v>11107.089</v>
      </c>
      <c r="J20" s="4">
        <v>7856.6469999999999</v>
      </c>
      <c r="K20" s="7">
        <v>0</v>
      </c>
      <c r="L20" s="8"/>
      <c r="M20" s="9"/>
    </row>
    <row r="21" spans="1:13" x14ac:dyDescent="0.35">
      <c r="A21" s="6" t="s">
        <v>20</v>
      </c>
      <c r="B21" s="5">
        <f t="shared" si="0"/>
        <v>45706.887000000002</v>
      </c>
      <c r="C21" s="7">
        <v>0</v>
      </c>
      <c r="D21" s="5">
        <v>10416.076999999999</v>
      </c>
      <c r="E21" s="5">
        <v>1237.0029999999999</v>
      </c>
      <c r="F21" s="5">
        <v>12039.300999999999</v>
      </c>
      <c r="G21" s="5">
        <v>207.52600000000001</v>
      </c>
      <c r="H21" s="5">
        <v>13145.397999999999</v>
      </c>
      <c r="I21" s="4">
        <v>5160.143</v>
      </c>
      <c r="J21" s="4">
        <v>3501.4389999999999</v>
      </c>
      <c r="K21" s="7">
        <v>0</v>
      </c>
      <c r="L21" s="8"/>
      <c r="M21" s="9"/>
    </row>
    <row r="22" spans="1:13" x14ac:dyDescent="0.35">
      <c r="A22" s="6" t="s">
        <v>21</v>
      </c>
      <c r="B22" s="5">
        <f t="shared" si="0"/>
        <v>57437.38</v>
      </c>
      <c r="C22" s="5">
        <v>8058.5479999999998</v>
      </c>
      <c r="D22" s="5">
        <v>9151.2929999999997</v>
      </c>
      <c r="E22" s="5">
        <v>679.84799999999996</v>
      </c>
      <c r="F22" s="5">
        <v>18137.022000000001</v>
      </c>
      <c r="G22" s="7">
        <v>0</v>
      </c>
      <c r="H22" s="7">
        <v>7548</v>
      </c>
      <c r="I22" s="4">
        <v>2227.0500000000002</v>
      </c>
      <c r="J22" s="4">
        <v>444.53000000000003</v>
      </c>
      <c r="K22" s="5">
        <v>11191.089</v>
      </c>
      <c r="L22" s="8"/>
      <c r="M22" s="9"/>
    </row>
    <row r="23" spans="1:13" x14ac:dyDescent="0.35">
      <c r="A23" s="6" t="s">
        <v>22</v>
      </c>
      <c r="B23" s="5">
        <f t="shared" si="0"/>
        <v>15558.411</v>
      </c>
      <c r="C23" s="5">
        <v>3148.6179999999999</v>
      </c>
      <c r="D23" s="5">
        <v>498.69299999999998</v>
      </c>
      <c r="E23" s="5">
        <v>6.8460000000000001</v>
      </c>
      <c r="F23" s="5">
        <v>5020.7659999999996</v>
      </c>
      <c r="G23" s="7">
        <v>0</v>
      </c>
      <c r="H23" s="5">
        <v>6.3719999999999999</v>
      </c>
      <c r="I23" s="4">
        <v>984.35900000000004</v>
      </c>
      <c r="J23" s="4">
        <v>289.75099999999998</v>
      </c>
      <c r="K23" s="5">
        <v>5603.0060000000003</v>
      </c>
      <c r="L23" s="8"/>
      <c r="M23" s="9"/>
    </row>
    <row r="24" spans="1:13" x14ac:dyDescent="0.35">
      <c r="A24" s="6" t="s">
        <v>23</v>
      </c>
      <c r="B24" s="5">
        <f t="shared" si="0"/>
        <v>28909</v>
      </c>
      <c r="C24" s="7">
        <v>1221</v>
      </c>
      <c r="D24" s="7">
        <v>2283</v>
      </c>
      <c r="E24" s="7">
        <v>408</v>
      </c>
      <c r="F24" s="7">
        <v>4686</v>
      </c>
      <c r="G24" s="7">
        <v>0</v>
      </c>
      <c r="H24" s="7">
        <v>4</v>
      </c>
      <c r="I24" s="4">
        <v>605</v>
      </c>
      <c r="J24" s="4">
        <v>1369</v>
      </c>
      <c r="K24" s="7">
        <v>18333</v>
      </c>
      <c r="L24" s="8"/>
      <c r="M24" s="9"/>
    </row>
    <row r="25" spans="1:13" x14ac:dyDescent="0.35">
      <c r="A25" s="6" t="s">
        <v>24</v>
      </c>
      <c r="B25" s="5">
        <f t="shared" si="0"/>
        <v>78617.187000000005</v>
      </c>
      <c r="C25" s="7">
        <v>1562</v>
      </c>
      <c r="D25" s="7">
        <v>660</v>
      </c>
      <c r="E25" s="7">
        <v>226</v>
      </c>
      <c r="F25" s="5">
        <v>15200.385</v>
      </c>
      <c r="G25" s="7">
        <v>0</v>
      </c>
      <c r="H25" s="5">
        <v>15043.174000000001</v>
      </c>
      <c r="I25" s="4">
        <v>716.44</v>
      </c>
      <c r="J25" s="4">
        <v>10901.188</v>
      </c>
      <c r="K25" s="7">
        <v>34308</v>
      </c>
      <c r="L25" s="8"/>
      <c r="M25" s="9"/>
    </row>
    <row r="26" spans="1:13" x14ac:dyDescent="0.35">
      <c r="A26" s="6" t="s">
        <v>25</v>
      </c>
      <c r="B26" s="5">
        <f t="shared" si="0"/>
        <v>162711</v>
      </c>
      <c r="C26" s="7">
        <v>27</v>
      </c>
      <c r="D26" s="7">
        <v>154</v>
      </c>
      <c r="E26" s="7">
        <v>195</v>
      </c>
      <c r="F26" s="7">
        <v>66187</v>
      </c>
      <c r="G26" s="7">
        <v>0</v>
      </c>
      <c r="H26" s="7">
        <v>34245</v>
      </c>
      <c r="I26" s="4">
        <v>3114</v>
      </c>
      <c r="J26" s="4">
        <v>10319</v>
      </c>
      <c r="K26" s="7">
        <v>48470</v>
      </c>
      <c r="L26" s="8"/>
      <c r="M26" s="9"/>
    </row>
    <row r="27" spans="1:13" x14ac:dyDescent="0.35">
      <c r="A27" s="6" t="s">
        <v>26</v>
      </c>
      <c r="B27" s="5">
        <f t="shared" si="0"/>
        <v>152642.80600000001</v>
      </c>
      <c r="C27" s="5">
        <v>26.917999999999999</v>
      </c>
      <c r="D27" s="5">
        <v>1529.8030000000001</v>
      </c>
      <c r="E27" s="5">
        <v>13.404999999999999</v>
      </c>
      <c r="F27" s="5">
        <v>136713.80600000001</v>
      </c>
      <c r="G27" s="7">
        <v>0</v>
      </c>
      <c r="H27" s="5">
        <v>13965.093000000001</v>
      </c>
      <c r="I27" s="4">
        <v>357.61900000000003</v>
      </c>
      <c r="J27" s="4">
        <v>36.161999999999992</v>
      </c>
      <c r="K27" s="7">
        <v>0</v>
      </c>
      <c r="L27" s="8"/>
      <c r="M27" s="9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Ruben Pescialli</cp:lastModifiedBy>
  <dcterms:created xsi:type="dcterms:W3CDTF">2025-06-20T13:33:11Z</dcterms:created>
  <dcterms:modified xsi:type="dcterms:W3CDTF">2026-01-18T15:53:25Z</dcterms:modified>
</cp:coreProperties>
</file>